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cProj\2025\FRC5515_2025\ControlPad2025\"/>
    </mc:Choice>
  </mc:AlternateContent>
  <xr:revisionPtr revIDLastSave="0" documentId="13_ncr:1_{D2C8EE49-497F-436F-B475-73829F8A391E}" xr6:coauthVersionLast="47" xr6:coauthVersionMax="47" xr10:uidLastSave="{00000000-0000-0000-0000-000000000000}"/>
  <bookViews>
    <workbookView xWindow="8070" yWindow="8865" windowWidth="27480" windowHeight="17880" activeTab="1" xr2:uid="{EF4FB274-D576-4A52-BA7B-AFA7CC462D5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F2" i="2"/>
  <c r="E2" i="2"/>
  <c r="C7" i="1"/>
  <c r="C8" i="1"/>
  <c r="C26" i="1"/>
  <c r="D26" i="1" s="1"/>
  <c r="C25" i="1"/>
  <c r="D25" i="1" s="1"/>
  <c r="C24" i="1"/>
  <c r="D24" i="1"/>
  <c r="E24" i="1" s="1"/>
  <c r="F24" i="1"/>
  <c r="H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3" i="1"/>
  <c r="E4" i="1"/>
  <c r="E5" i="1"/>
  <c r="E6" i="1"/>
  <c r="E7" i="1"/>
  <c r="E8" i="1"/>
  <c r="E9" i="1"/>
  <c r="E2" i="1"/>
  <c r="C3" i="1"/>
  <c r="D3" i="1" s="1"/>
  <c r="C4" i="1"/>
  <c r="D4" i="1" s="1"/>
  <c r="C5" i="1"/>
  <c r="D5" i="1" s="1"/>
  <c r="C6" i="1"/>
  <c r="D6" i="1" s="1"/>
  <c r="D7" i="1"/>
  <c r="D8" i="1"/>
  <c r="C9" i="1"/>
  <c r="D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8" i="1"/>
  <c r="D18" i="1" s="1"/>
  <c r="E18" i="1" s="1"/>
  <c r="C19" i="1"/>
  <c r="D19" i="1" s="1"/>
  <c r="E19" i="1" s="1"/>
  <c r="C20" i="1"/>
  <c r="D20" i="1" s="1"/>
  <c r="C21" i="1"/>
  <c r="D21" i="1" s="1"/>
  <c r="C22" i="1"/>
  <c r="D22" i="1" s="1"/>
  <c r="C23" i="1"/>
  <c r="D23" i="1" s="1"/>
  <c r="D2" i="1"/>
  <c r="C2" i="1"/>
  <c r="E26" i="1" l="1"/>
  <c r="F26" i="1"/>
  <c r="E25" i="1"/>
  <c r="F25" i="1"/>
  <c r="F23" i="1"/>
  <c r="E23" i="1"/>
  <c r="E22" i="1"/>
  <c r="F22" i="1"/>
  <c r="E21" i="1"/>
  <c r="F21" i="1"/>
  <c r="E20" i="1"/>
  <c r="F20" i="1"/>
</calcChain>
</file>

<file path=xl/sharedStrings.xml><?xml version="1.0" encoding="utf-8"?>
<sst xmlns="http://schemas.openxmlformats.org/spreadsheetml/2006/main" count="26" uniqueCount="26">
  <si>
    <t>inches</t>
    <phoneticPr fontId="1" type="noConversion"/>
  </si>
  <si>
    <t>米</t>
    <phoneticPr fontId="1" type="noConversion"/>
  </si>
  <si>
    <t>fgui（937,430）</t>
    <phoneticPr fontId="1" type="noConversion"/>
  </si>
  <si>
    <t>单位</t>
    <phoneticPr fontId="1" type="noConversion"/>
  </si>
  <si>
    <t>左控制区长</t>
    <phoneticPr fontId="1" type="noConversion"/>
  </si>
  <si>
    <t>左控制区宽</t>
    <phoneticPr fontId="1" type="noConversion"/>
  </si>
  <si>
    <t>珊瑚内圈</t>
    <phoneticPr fontId="1" type="noConversion"/>
  </si>
  <si>
    <t>珊瑚外圈</t>
    <phoneticPr fontId="1" type="noConversion"/>
  </si>
  <si>
    <t>左珊瑚区中心位置距离左边距离</t>
    <phoneticPr fontId="1" type="noConversion"/>
  </si>
  <si>
    <t>fgui y坐标</t>
    <phoneticPr fontId="1" type="noConversion"/>
  </si>
  <si>
    <t>AprilTag17 x，y</t>
    <phoneticPr fontId="1" type="noConversion"/>
  </si>
  <si>
    <t>AprilTag18 x，y</t>
    <phoneticPr fontId="1" type="noConversion"/>
  </si>
  <si>
    <t>AP19</t>
    <phoneticPr fontId="1" type="noConversion"/>
  </si>
  <si>
    <t>AP20</t>
    <phoneticPr fontId="1" type="noConversion"/>
  </si>
  <si>
    <t>AP21</t>
    <phoneticPr fontId="1" type="noConversion"/>
  </si>
  <si>
    <t>AP22</t>
    <phoneticPr fontId="1" type="noConversion"/>
  </si>
  <si>
    <t>fgui flip x坐标</t>
    <phoneticPr fontId="1" type="noConversion"/>
  </si>
  <si>
    <t>左出发区X坐标</t>
    <phoneticPr fontId="1" type="noConversion"/>
  </si>
  <si>
    <t>出发区红蓝区域宽高</t>
    <phoneticPr fontId="1" type="noConversion"/>
  </si>
  <si>
    <t>侧边区长度</t>
    <phoneticPr fontId="1" type="noConversion"/>
  </si>
  <si>
    <t>algea直径</t>
    <phoneticPr fontId="1" type="noConversion"/>
  </si>
  <si>
    <t>algea 位置X</t>
    <phoneticPr fontId="1" type="noConversion"/>
  </si>
  <si>
    <t>algea位置Y（相对于场中心）</t>
    <phoneticPr fontId="1" type="noConversion"/>
  </si>
  <si>
    <t>aprilTag17</t>
    <phoneticPr fontId="1" type="noConversion"/>
  </si>
  <si>
    <t>x结果</t>
    <phoneticPr fontId="1" type="noConversion"/>
  </si>
  <si>
    <t>y结果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</si>
</sst>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7B30-E452-4953-8A63-39D0B9B8F731}">
  <dimension ref="A1:H26"/>
  <sheetViews>
    <sheetView workbookViewId="0">
      <selection activeCell="C7" sqref="C7:C8"/>
    </sheetView>
  </sheetViews>
  <sheetFormatPr defaultRowHeight="14.25" x14ac:dyDescent="0.2"/>
  <cols>
    <col min="1" max="1" width="30.125" customWidth="1"/>
    <col min="4" max="4" width="24.25" customWidth="1"/>
    <col min="6" max="6" width="21.75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9</v>
      </c>
      <c r="F1" t="s">
        <v>16</v>
      </c>
    </row>
    <row r="2" spans="1:6" x14ac:dyDescent="0.2">
      <c r="A2" t="s">
        <v>3</v>
      </c>
      <c r="B2">
        <v>1</v>
      </c>
      <c r="C2">
        <f>B:B*0.0254</f>
        <v>2.5399999999999999E-2</v>
      </c>
      <c r="D2">
        <f>C:C*937/17.548</f>
        <v>1.3562685206291316</v>
      </c>
      <c r="E2">
        <f>430-D2</f>
        <v>428.64373147937084</v>
      </c>
      <c r="F2">
        <f>937-D2</f>
        <v>935.6437314793709</v>
      </c>
    </row>
    <row r="3" spans="1:6" x14ac:dyDescent="0.2">
      <c r="A3" t="s">
        <v>4</v>
      </c>
      <c r="B3">
        <v>217.25</v>
      </c>
      <c r="C3">
        <f t="shared" ref="C3:C26" si="0">B:B*0.0254</f>
        <v>5.5181499999999994</v>
      </c>
      <c r="D3">
        <f t="shared" ref="D3:D26" si="1">C:C*937/17.548</f>
        <v>294.64933610667879</v>
      </c>
      <c r="E3">
        <f t="shared" ref="E3:E26" si="2">430-D3</f>
        <v>135.35066389332121</v>
      </c>
      <c r="F3">
        <f t="shared" ref="F3:F26" si="3">937-D3</f>
        <v>642.35066389332121</v>
      </c>
    </row>
    <row r="4" spans="1:6" x14ac:dyDescent="0.2">
      <c r="A4" t="s">
        <v>5</v>
      </c>
      <c r="B4">
        <v>24</v>
      </c>
      <c r="C4">
        <f t="shared" si="0"/>
        <v>0.60959999999999992</v>
      </c>
      <c r="D4">
        <f t="shared" si="1"/>
        <v>32.55044449509915</v>
      </c>
      <c r="E4">
        <f t="shared" si="2"/>
        <v>397.44955550490084</v>
      </c>
      <c r="F4">
        <f t="shared" si="3"/>
        <v>904.4495555049009</v>
      </c>
    </row>
    <row r="5" spans="1:6" x14ac:dyDescent="0.2">
      <c r="A5" t="s">
        <v>6</v>
      </c>
      <c r="B5">
        <v>65.5</v>
      </c>
      <c r="C5">
        <f t="shared" si="0"/>
        <v>1.6637</v>
      </c>
      <c r="D5">
        <f t="shared" si="1"/>
        <v>88.835588101208117</v>
      </c>
      <c r="E5">
        <f t="shared" si="2"/>
        <v>341.16441189879185</v>
      </c>
      <c r="F5">
        <f t="shared" si="3"/>
        <v>848.16441189879185</v>
      </c>
    </row>
    <row r="6" spans="1:6" x14ac:dyDescent="0.2">
      <c r="A6" t="s">
        <v>7</v>
      </c>
      <c r="B6">
        <v>93.5</v>
      </c>
      <c r="C6">
        <f t="shared" si="0"/>
        <v>2.3748999999999998</v>
      </c>
      <c r="D6">
        <f t="shared" si="1"/>
        <v>126.81110667882379</v>
      </c>
      <c r="E6">
        <f t="shared" si="2"/>
        <v>303.18889332117624</v>
      </c>
      <c r="F6">
        <f t="shared" si="3"/>
        <v>810.18889332117624</v>
      </c>
    </row>
    <row r="7" spans="1:6" x14ac:dyDescent="0.2">
      <c r="A7" s="1" t="s">
        <v>10</v>
      </c>
      <c r="B7">
        <v>160.38999999999999</v>
      </c>
      <c r="C7">
        <f t="shared" si="0"/>
        <v>4.0739059999999991</v>
      </c>
      <c r="D7">
        <f t="shared" si="1"/>
        <v>217.53190802370636</v>
      </c>
      <c r="E7">
        <f t="shared" si="2"/>
        <v>212.46809197629364</v>
      </c>
      <c r="F7">
        <f t="shared" si="3"/>
        <v>719.46809197629364</v>
      </c>
    </row>
    <row r="8" spans="1:6" x14ac:dyDescent="0.2">
      <c r="A8" s="1"/>
      <c r="B8">
        <v>130.16999999999999</v>
      </c>
      <c r="C8">
        <f t="shared" si="0"/>
        <v>3.3063179999999996</v>
      </c>
      <c r="D8">
        <f t="shared" si="1"/>
        <v>176.54547333029407</v>
      </c>
      <c r="E8">
        <f t="shared" si="2"/>
        <v>253.45452666970593</v>
      </c>
      <c r="F8">
        <f t="shared" si="3"/>
        <v>760.45452666970596</v>
      </c>
    </row>
    <row r="9" spans="1:6" x14ac:dyDescent="0.2">
      <c r="A9" t="s">
        <v>8</v>
      </c>
      <c r="B9">
        <v>176.75</v>
      </c>
      <c r="C9">
        <f t="shared" si="0"/>
        <v>4.4894499999999997</v>
      </c>
      <c r="D9">
        <f t="shared" si="1"/>
        <v>239.72046102119899</v>
      </c>
      <c r="E9">
        <f t="shared" si="2"/>
        <v>190.27953897880101</v>
      </c>
      <c r="F9">
        <f t="shared" si="3"/>
        <v>697.27953897880104</v>
      </c>
    </row>
    <row r="10" spans="1:6" x14ac:dyDescent="0.2">
      <c r="A10" s="1" t="s">
        <v>11</v>
      </c>
      <c r="B10">
        <v>144</v>
      </c>
      <c r="C10">
        <f t="shared" si="0"/>
        <v>3.6576</v>
      </c>
      <c r="D10">
        <f t="shared" si="1"/>
        <v>195.30266697059494</v>
      </c>
      <c r="E10">
        <f t="shared" si="2"/>
        <v>234.69733302940506</v>
      </c>
      <c r="F10">
        <f t="shared" si="3"/>
        <v>741.69733302940506</v>
      </c>
    </row>
    <row r="11" spans="1:6" x14ac:dyDescent="0.2">
      <c r="A11" s="1"/>
      <c r="B11">
        <v>158.5</v>
      </c>
      <c r="C11">
        <f t="shared" si="0"/>
        <v>4.0259</v>
      </c>
      <c r="D11">
        <f t="shared" si="1"/>
        <v>214.96856051971739</v>
      </c>
      <c r="E11">
        <f t="shared" si="2"/>
        <v>215.03143948028261</v>
      </c>
      <c r="F11">
        <f t="shared" si="3"/>
        <v>722.03143948028264</v>
      </c>
    </row>
    <row r="12" spans="1:6" x14ac:dyDescent="0.2">
      <c r="A12" s="1" t="s">
        <v>12</v>
      </c>
      <c r="B12">
        <v>160.38999999999999</v>
      </c>
      <c r="C12">
        <f t="shared" si="0"/>
        <v>4.0739059999999991</v>
      </c>
      <c r="D12">
        <f t="shared" si="1"/>
        <v>217.53190802370636</v>
      </c>
      <c r="E12">
        <f t="shared" si="2"/>
        <v>212.46809197629364</v>
      </c>
      <c r="F12">
        <f t="shared" si="3"/>
        <v>719.46809197629364</v>
      </c>
    </row>
    <row r="13" spans="1:6" x14ac:dyDescent="0.2">
      <c r="A13" s="1"/>
      <c r="B13">
        <v>186.83</v>
      </c>
      <c r="C13">
        <f t="shared" si="0"/>
        <v>4.745482</v>
      </c>
      <c r="D13">
        <f t="shared" si="1"/>
        <v>253.39164770914064</v>
      </c>
      <c r="E13">
        <f t="shared" si="2"/>
        <v>176.60835229085936</v>
      </c>
      <c r="F13">
        <f t="shared" si="3"/>
        <v>683.60835229085933</v>
      </c>
    </row>
    <row r="14" spans="1:6" x14ac:dyDescent="0.2">
      <c r="A14" s="1" t="s">
        <v>13</v>
      </c>
      <c r="B14">
        <v>193.1</v>
      </c>
      <c r="C14">
        <f t="shared" si="0"/>
        <v>4.9047399999999994</v>
      </c>
      <c r="D14">
        <f t="shared" si="1"/>
        <v>261.89545133348531</v>
      </c>
      <c r="E14">
        <f t="shared" si="2"/>
        <v>168.10454866651469</v>
      </c>
      <c r="F14">
        <f t="shared" si="3"/>
        <v>675.10454866651469</v>
      </c>
    </row>
    <row r="15" spans="1:6" x14ac:dyDescent="0.2">
      <c r="A15" s="1"/>
      <c r="B15">
        <v>186.83</v>
      </c>
      <c r="C15">
        <f t="shared" si="0"/>
        <v>4.745482</v>
      </c>
      <c r="D15">
        <f t="shared" si="1"/>
        <v>253.39164770914064</v>
      </c>
      <c r="E15">
        <f t="shared" si="2"/>
        <v>176.60835229085936</v>
      </c>
      <c r="F15">
        <f t="shared" si="3"/>
        <v>683.60835229085933</v>
      </c>
    </row>
    <row r="16" spans="1:6" x14ac:dyDescent="0.2">
      <c r="A16" s="1" t="s">
        <v>14</v>
      </c>
      <c r="B16">
        <v>209.49</v>
      </c>
      <c r="C16">
        <f t="shared" si="0"/>
        <v>5.3210459999999999</v>
      </c>
      <c r="D16">
        <f t="shared" si="1"/>
        <v>284.12469238659679</v>
      </c>
      <c r="E16">
        <f t="shared" si="2"/>
        <v>145.87530761340321</v>
      </c>
      <c r="F16">
        <f t="shared" si="3"/>
        <v>652.87530761340327</v>
      </c>
    </row>
    <row r="17" spans="1:8" x14ac:dyDescent="0.2">
      <c r="A17" s="1"/>
      <c r="B17">
        <v>158.5</v>
      </c>
      <c r="C17">
        <f t="shared" si="0"/>
        <v>4.0259</v>
      </c>
      <c r="D17">
        <f t="shared" si="1"/>
        <v>214.96856051971739</v>
      </c>
      <c r="E17">
        <f t="shared" si="2"/>
        <v>215.03143948028261</v>
      </c>
      <c r="F17">
        <f t="shared" si="3"/>
        <v>722.03143948028264</v>
      </c>
    </row>
    <row r="18" spans="1:8" x14ac:dyDescent="0.2">
      <c r="A18" s="1" t="s">
        <v>15</v>
      </c>
      <c r="B18">
        <v>193.1</v>
      </c>
      <c r="C18">
        <f t="shared" si="0"/>
        <v>4.9047399999999994</v>
      </c>
      <c r="D18">
        <f t="shared" si="1"/>
        <v>261.89545133348531</v>
      </c>
      <c r="E18">
        <f t="shared" si="2"/>
        <v>168.10454866651469</v>
      </c>
      <c r="F18">
        <f t="shared" si="3"/>
        <v>675.10454866651469</v>
      </c>
    </row>
    <row r="19" spans="1:8" x14ac:dyDescent="0.2">
      <c r="A19" s="1"/>
      <c r="B19">
        <v>130.16999999999999</v>
      </c>
      <c r="C19">
        <f t="shared" si="0"/>
        <v>3.3063179999999996</v>
      </c>
      <c r="D19">
        <f t="shared" si="1"/>
        <v>176.54547333029407</v>
      </c>
      <c r="E19">
        <f t="shared" si="2"/>
        <v>253.45452666970593</v>
      </c>
      <c r="F19">
        <f t="shared" si="3"/>
        <v>760.45452666970596</v>
      </c>
    </row>
    <row r="20" spans="1:8" x14ac:dyDescent="0.2">
      <c r="A20" t="s">
        <v>17</v>
      </c>
      <c r="B20">
        <v>297.5</v>
      </c>
      <c r="C20">
        <f t="shared" si="0"/>
        <v>7.5564999999999998</v>
      </c>
      <c r="D20">
        <f t="shared" si="1"/>
        <v>403.48988488716662</v>
      </c>
      <c r="E20">
        <f t="shared" si="2"/>
        <v>26.510115112833375</v>
      </c>
      <c r="F20">
        <f t="shared" si="3"/>
        <v>533.51011511283332</v>
      </c>
      <c r="H20">
        <f>F20-D20</f>
        <v>130.02023022566669</v>
      </c>
    </row>
    <row r="21" spans="1:8" x14ac:dyDescent="0.2">
      <c r="A21" s="1" t="s">
        <v>18</v>
      </c>
      <c r="B21">
        <v>46</v>
      </c>
      <c r="C21">
        <f t="shared" si="0"/>
        <v>1.1683999999999999</v>
      </c>
      <c r="D21">
        <f t="shared" si="1"/>
        <v>62.388351948940056</v>
      </c>
      <c r="E21">
        <f t="shared" si="2"/>
        <v>367.61164805105994</v>
      </c>
      <c r="F21">
        <f t="shared" si="3"/>
        <v>874.61164805106</v>
      </c>
    </row>
    <row r="22" spans="1:8" x14ac:dyDescent="0.2">
      <c r="A22" s="1"/>
      <c r="B22">
        <v>146.5</v>
      </c>
      <c r="C22">
        <f t="shared" si="0"/>
        <v>3.7210999999999999</v>
      </c>
      <c r="D22">
        <f t="shared" si="1"/>
        <v>198.69333827216778</v>
      </c>
      <c r="E22">
        <f t="shared" si="2"/>
        <v>231.30666172783222</v>
      </c>
      <c r="F22">
        <f t="shared" si="3"/>
        <v>738.30666172783219</v>
      </c>
    </row>
    <row r="23" spans="1:8" x14ac:dyDescent="0.2">
      <c r="A23" t="s">
        <v>19</v>
      </c>
      <c r="B23">
        <v>231.66</v>
      </c>
      <c r="C23">
        <f t="shared" si="0"/>
        <v>5.8841639999999993</v>
      </c>
      <c r="D23">
        <f t="shared" si="1"/>
        <v>314.1931654889446</v>
      </c>
      <c r="E23">
        <f t="shared" si="2"/>
        <v>115.8068345110554</v>
      </c>
      <c r="F23">
        <f t="shared" si="3"/>
        <v>622.8068345110554</v>
      </c>
    </row>
    <row r="24" spans="1:8" x14ac:dyDescent="0.2">
      <c r="A24" t="s">
        <v>20</v>
      </c>
      <c r="B24">
        <v>18</v>
      </c>
      <c r="C24">
        <f t="shared" si="0"/>
        <v>0.4572</v>
      </c>
      <c r="D24">
        <f t="shared" si="1"/>
        <v>24.412833371324368</v>
      </c>
      <c r="E24">
        <f t="shared" si="2"/>
        <v>405.58716662867562</v>
      </c>
      <c r="F24">
        <f t="shared" si="3"/>
        <v>912.58716662867562</v>
      </c>
    </row>
    <row r="25" spans="1:8" x14ac:dyDescent="0.2">
      <c r="A25" t="s">
        <v>21</v>
      </c>
      <c r="B25">
        <v>48</v>
      </c>
      <c r="C25">
        <f t="shared" si="0"/>
        <v>1.2191999999999998</v>
      </c>
      <c r="D25">
        <f t="shared" si="1"/>
        <v>65.1008889901983</v>
      </c>
      <c r="E25">
        <f t="shared" si="2"/>
        <v>364.89911100980169</v>
      </c>
      <c r="F25">
        <f t="shared" si="3"/>
        <v>871.89911100980169</v>
      </c>
    </row>
    <row r="26" spans="1:8" x14ac:dyDescent="0.2">
      <c r="A26" t="s">
        <v>22</v>
      </c>
      <c r="B26">
        <v>72</v>
      </c>
      <c r="C26">
        <f t="shared" si="0"/>
        <v>1.8288</v>
      </c>
      <c r="D26">
        <f t="shared" si="1"/>
        <v>97.651333485297471</v>
      </c>
      <c r="E26">
        <f t="shared" si="2"/>
        <v>332.34866651470253</v>
      </c>
      <c r="F26">
        <f t="shared" si="3"/>
        <v>839.34866651470247</v>
      </c>
    </row>
  </sheetData>
  <mergeCells count="7">
    <mergeCell ref="A21:A22"/>
    <mergeCell ref="A7:A8"/>
    <mergeCell ref="A10:A11"/>
    <mergeCell ref="A12:A13"/>
    <mergeCell ref="A14:A15"/>
    <mergeCell ref="A16:A17"/>
    <mergeCell ref="A18:A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6DF6-BD57-4320-86B0-73BE74B65475}">
  <dimension ref="A1:F22"/>
  <sheetViews>
    <sheetView tabSelected="1" workbookViewId="0">
      <selection activeCell="B2" sqref="B2:B22"/>
    </sheetView>
  </sheetViews>
  <sheetFormatPr defaultRowHeight="14.25" x14ac:dyDescent="0.2"/>
  <cols>
    <col min="4" max="4" width="15.375" customWidth="1"/>
  </cols>
  <sheetData>
    <row r="1" spans="1:6" x14ac:dyDescent="0.2">
      <c r="E1" t="s">
        <v>24</v>
      </c>
      <c r="F1" t="s">
        <v>25</v>
      </c>
    </row>
    <row r="2" spans="1:6" x14ac:dyDescent="0.2">
      <c r="A2" s="1" t="s">
        <v>23</v>
      </c>
      <c r="B2">
        <v>0.5</v>
      </c>
      <c r="C2">
        <v>240</v>
      </c>
      <c r="D2">
        <v>4.0739059999999991</v>
      </c>
      <c r="E2">
        <f>D2 + B2*COS(C2+90)</f>
        <v>3.5783065891223957</v>
      </c>
      <c r="F2">
        <f>D2 +B2*SIN(C2+90)</f>
        <v>4.0077151853972728</v>
      </c>
    </row>
    <row r="3" spans="1:6" x14ac:dyDescent="0.2">
      <c r="A3" s="1"/>
      <c r="B3">
        <v>0.5</v>
      </c>
      <c r="C3">
        <v>240</v>
      </c>
      <c r="D3">
        <v>3.3063179999999996</v>
      </c>
      <c r="E3">
        <f t="shared" ref="E3:E22" si="0">D3 + B3*COS(C3+90)</f>
        <v>2.8107185891223962</v>
      </c>
      <c r="F3">
        <f t="shared" ref="F3:F22" si="1">D3 +B3*SIN(C3+90)</f>
        <v>3.2401271853972737</v>
      </c>
    </row>
    <row r="4" spans="1:6" x14ac:dyDescent="0.2">
      <c r="B4">
        <v>0.5</v>
      </c>
      <c r="E4">
        <f t="shared" si="0"/>
        <v>-0.22403680806458506</v>
      </c>
      <c r="F4">
        <f t="shared" si="1"/>
        <v>0.44699833180027893</v>
      </c>
    </row>
    <row r="5" spans="1:6" x14ac:dyDescent="0.2">
      <c r="B5">
        <v>0.5</v>
      </c>
      <c r="E5">
        <f t="shared" si="0"/>
        <v>-0.22403680806458506</v>
      </c>
      <c r="F5">
        <f t="shared" si="1"/>
        <v>0.44699833180027893</v>
      </c>
    </row>
    <row r="6" spans="1:6" x14ac:dyDescent="0.2">
      <c r="B6">
        <v>0.5</v>
      </c>
      <c r="E6">
        <f t="shared" si="0"/>
        <v>-0.22403680806458506</v>
      </c>
      <c r="F6">
        <f t="shared" si="1"/>
        <v>0.44699833180027893</v>
      </c>
    </row>
    <row r="7" spans="1:6" x14ac:dyDescent="0.2">
      <c r="B7">
        <v>0.5</v>
      </c>
      <c r="E7">
        <f t="shared" si="0"/>
        <v>-0.22403680806458506</v>
      </c>
      <c r="F7">
        <f t="shared" si="1"/>
        <v>0.44699833180027893</v>
      </c>
    </row>
    <row r="8" spans="1:6" x14ac:dyDescent="0.2">
      <c r="B8">
        <v>0.5</v>
      </c>
      <c r="E8">
        <f t="shared" si="0"/>
        <v>-0.22403680806458506</v>
      </c>
      <c r="F8">
        <f t="shared" si="1"/>
        <v>0.44699833180027893</v>
      </c>
    </row>
    <row r="9" spans="1:6" x14ac:dyDescent="0.2">
      <c r="B9">
        <v>0.5</v>
      </c>
      <c r="E9">
        <f t="shared" si="0"/>
        <v>-0.22403680806458506</v>
      </c>
      <c r="F9">
        <f t="shared" si="1"/>
        <v>0.44699833180027893</v>
      </c>
    </row>
    <row r="10" spans="1:6" x14ac:dyDescent="0.2">
      <c r="B10">
        <v>0.5</v>
      </c>
      <c r="E10">
        <f t="shared" si="0"/>
        <v>-0.22403680806458506</v>
      </c>
      <c r="F10">
        <f t="shared" si="1"/>
        <v>0.44699833180027893</v>
      </c>
    </row>
    <row r="11" spans="1:6" x14ac:dyDescent="0.2">
      <c r="B11">
        <v>0.5</v>
      </c>
      <c r="E11">
        <f t="shared" si="0"/>
        <v>-0.22403680806458506</v>
      </c>
      <c r="F11">
        <f t="shared" si="1"/>
        <v>0.44699833180027893</v>
      </c>
    </row>
    <row r="12" spans="1:6" x14ac:dyDescent="0.2">
      <c r="B12">
        <v>0.5</v>
      </c>
      <c r="E12">
        <f t="shared" si="0"/>
        <v>-0.22403680806458506</v>
      </c>
      <c r="F12">
        <f t="shared" si="1"/>
        <v>0.44699833180027893</v>
      </c>
    </row>
    <row r="13" spans="1:6" x14ac:dyDescent="0.2">
      <c r="B13">
        <v>0.5</v>
      </c>
      <c r="E13">
        <f t="shared" si="0"/>
        <v>-0.22403680806458506</v>
      </c>
      <c r="F13">
        <f t="shared" si="1"/>
        <v>0.44699833180027893</v>
      </c>
    </row>
    <row r="14" spans="1:6" x14ac:dyDescent="0.2">
      <c r="B14">
        <v>0.5</v>
      </c>
      <c r="E14">
        <f t="shared" si="0"/>
        <v>-0.22403680806458506</v>
      </c>
      <c r="F14">
        <f t="shared" si="1"/>
        <v>0.44699833180027893</v>
      </c>
    </row>
    <row r="15" spans="1:6" x14ac:dyDescent="0.2">
      <c r="B15">
        <v>0.5</v>
      </c>
      <c r="E15">
        <f t="shared" si="0"/>
        <v>-0.22403680806458506</v>
      </c>
      <c r="F15">
        <f t="shared" si="1"/>
        <v>0.44699833180027893</v>
      </c>
    </row>
    <row r="16" spans="1:6" x14ac:dyDescent="0.2">
      <c r="B16">
        <v>0.5</v>
      </c>
      <c r="E16">
        <f t="shared" si="0"/>
        <v>-0.22403680806458506</v>
      </c>
      <c r="F16">
        <f t="shared" si="1"/>
        <v>0.44699833180027893</v>
      </c>
    </row>
    <row r="17" spans="2:6" x14ac:dyDescent="0.2">
      <c r="B17">
        <v>0.5</v>
      </c>
      <c r="E17">
        <f t="shared" si="0"/>
        <v>-0.22403680806458506</v>
      </c>
      <c r="F17">
        <f t="shared" si="1"/>
        <v>0.44699833180027893</v>
      </c>
    </row>
    <row r="18" spans="2:6" x14ac:dyDescent="0.2">
      <c r="B18">
        <v>0.5</v>
      </c>
      <c r="E18">
        <f t="shared" si="0"/>
        <v>-0.22403680806458506</v>
      </c>
      <c r="F18">
        <f t="shared" si="1"/>
        <v>0.44699833180027893</v>
      </c>
    </row>
    <row r="19" spans="2:6" x14ac:dyDescent="0.2">
      <c r="B19">
        <v>0.5</v>
      </c>
      <c r="E19">
        <f t="shared" si="0"/>
        <v>-0.22403680806458506</v>
      </c>
      <c r="F19">
        <f t="shared" si="1"/>
        <v>0.44699833180027893</v>
      </c>
    </row>
    <row r="20" spans="2:6" x14ac:dyDescent="0.2">
      <c r="B20">
        <v>0.5</v>
      </c>
      <c r="E20">
        <f t="shared" si="0"/>
        <v>-0.22403680806458506</v>
      </c>
      <c r="F20">
        <f t="shared" si="1"/>
        <v>0.44699833180027893</v>
      </c>
    </row>
    <row r="21" spans="2:6" x14ac:dyDescent="0.2">
      <c r="B21">
        <v>0.5</v>
      </c>
      <c r="E21">
        <f t="shared" si="0"/>
        <v>-0.22403680806458506</v>
      </c>
      <c r="F21">
        <f t="shared" si="1"/>
        <v>0.44699833180027893</v>
      </c>
    </row>
    <row r="22" spans="2:6" x14ac:dyDescent="0.2">
      <c r="B22">
        <v>0.5</v>
      </c>
      <c r="E22">
        <f t="shared" si="0"/>
        <v>-0.22403680806458506</v>
      </c>
      <c r="F22">
        <f t="shared" si="1"/>
        <v>0.44699833180027893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majun</dc:creator>
  <cp:lastModifiedBy>majun</cp:lastModifiedBy>
  <dcterms:created xsi:type="dcterms:W3CDTF">2025-01-26T07:18:33Z</dcterms:created>
  <dcterms:modified xsi:type="dcterms:W3CDTF">2025-01-29T13:04:34Z</dcterms:modified>
</cp:coreProperties>
</file>